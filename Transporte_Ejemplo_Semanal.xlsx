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iajes" state="visible" r:id="rId4"/>
    <sheet sheetId="2" name="Resumen" state="visible" r:id="rId5"/>
    <sheet sheetId="3" name="Parametros y notas" state="visible" r:id="rId6"/>
  </sheets>
  <calcPr calcId="171027"/>
</workbook>
</file>

<file path=xl/sharedStrings.xml><?xml version="1.0" encoding="utf-8"?>
<sst xmlns="http://schemas.openxmlformats.org/spreadsheetml/2006/main" count="140" uniqueCount="97">
  <si>
    <t>Fecha</t>
  </si>
  <si>
    <t>Guia</t>
  </si>
  <si>
    <t>Vehiculo</t>
  </si>
  <si>
    <t>Chofer</t>
  </si>
  <si>
    <t>Ruta</t>
  </si>
  <si>
    <t>Zona</t>
  </si>
  <si>
    <t>Tipo flete</t>
  </si>
  <si>
    <t>Transportista</t>
  </si>
  <si>
    <t>Venta entregada $</t>
  </si>
  <si>
    <t>Costo viaje $</t>
  </si>
  <si>
    <t>Flete / venta</t>
  </si>
  <si>
    <t>Semaforo</t>
  </si>
  <si>
    <t>Venta minima $</t>
  </si>
  <si>
    <t>Brecha $</t>
  </si>
  <si>
    <t>Sobrecosto $</t>
  </si>
  <si>
    <t>Ganancia estimada $</t>
  </si>
  <si>
    <t>Margen restante</t>
  </si>
  <si>
    <t>Llenado kg</t>
  </si>
  <si>
    <t>Llenado bultos</t>
  </si>
  <si>
    <t>Ticket/parada $</t>
  </si>
  <si>
    <t>Costo/bulto entregado $</t>
  </si>
  <si>
    <t>Costo/kg entregado $</t>
  </si>
  <si>
    <t>Devoluciones</t>
  </si>
  <si>
    <t>No atendidos</t>
  </si>
  <si>
    <t>Jornada h</t>
  </si>
  <si>
    <t>Km/parada</t>
  </si>
  <si>
    <t>Costo/km $</t>
  </si>
  <si>
    <t>Km/l cargado</t>
  </si>
  <si>
    <t>Km/l teorico</t>
  </si>
  <si>
    <t>Viaticos $</t>
  </si>
  <si>
    <t>Alertas</t>
  </si>
  <si>
    <t>2026-10-05</t>
  </si>
  <si>
    <t>EJEMPLO-1</t>
  </si>
  <si>
    <t>EJEMPLO - NO REAL</t>
  </si>
  <si>
    <t>Chofer de prueba</t>
  </si>
  <si>
    <t>EJEMPLO</t>
  </si>
  <si>
    <t>Maracaibo</t>
  </si>
  <si>
    <t>interno</t>
  </si>
  <si>
    <t>amarillo</t>
  </si>
  <si>
    <t>Llenado bajo la meta.</t>
  </si>
  <si>
    <t>EJEMPLO-2</t>
  </si>
  <si>
    <t>EJEMPLO-3</t>
  </si>
  <si>
    <t>verde</t>
  </si>
  <si>
    <t>EJEMPLO-4</t>
  </si>
  <si>
    <t>externo</t>
  </si>
  <si>
    <t>Maracaibo - prueba</t>
  </si>
  <si>
    <t>EJEMPLO-5</t>
  </si>
  <si>
    <t>Cabimas</t>
  </si>
  <si>
    <t>Cabimas - prueba</t>
  </si>
  <si>
    <t>rojo</t>
  </si>
  <si>
    <t>Flete por encima de la meta. | Llenado bajo la meta.</t>
  </si>
  <si>
    <t>EJEMPLO-6</t>
  </si>
  <si>
    <t>Cabimas minimo - prueba</t>
  </si>
  <si>
    <t>Periodo</t>
  </si>
  <si>
    <t>Grupo</t>
  </si>
  <si>
    <t>Viajes</t>
  </si>
  <si>
    <t>Costo total $</t>
  </si>
  <si>
    <t>Flete ponderado</t>
  </si>
  <si>
    <t>Viajes rojos</t>
  </si>
  <si>
    <t>Viajes incompletos</t>
  </si>
  <si>
    <t>PRUEBA-1</t>
  </si>
  <si>
    <t>PRUEBA-2</t>
  </si>
  <si>
    <t>PRUEBA-3</t>
  </si>
  <si>
    <t>PRUEBA-4</t>
  </si>
  <si>
    <t>PRUEBA-5</t>
  </si>
  <si>
    <t>PRUEBA-6</t>
  </si>
  <si>
    <t>Parametro</t>
  </si>
  <si>
    <t>Valor</t>
  </si>
  <si>
    <t>Reporte</t>
  </si>
  <si>
    <t>Snapshot semanal de KPIs calculados por el servidor. No reemplaza los datos del sistema.</t>
  </si>
  <si>
    <t>Ganancia</t>
  </si>
  <si>
    <t>Venta entregada x margen antes de flete - costo. Estimacion, no utilidad contable.</t>
  </si>
  <si>
    <t>Combustible</t>
  </si>
  <si>
    <t>Km/l cargado es orientativo; no mide necesariamente litros consumidos.</t>
  </si>
  <si>
    <t>Configuraciones historicas</t>
  </si>
  <si>
    <t>Cada viaje cerrado conserva sus parametros; revisar configurationSnapshot en el sistema.</t>
  </si>
  <si>
    <t>targetRatio</t>
  </si>
  <si>
    <t>yellowFrom</t>
  </si>
  <si>
    <t>returnLimit</t>
  </si>
  <si>
    <t>unattendedLimit</t>
  </si>
  <si>
    <t>fillTarget</t>
  </si>
  <si>
    <t>maxHours</t>
  </si>
  <si>
    <t>departureHour</t>
  </si>
  <si>
    <t>fuelDeviation</t>
  </si>
  <si>
    <t>grossMargin</t>
  </si>
  <si>
    <t>Vehiculo L300</t>
  </si>
  <si>
    <t>{"id":"l300","name":"L300","source":"Dato del usuario aprobado: combustible $0.50/l","depreciationMonthly":119.05,"permitMonthly":4.17,"driverDaily":20,"helperDaily":13,"workDays":24,"fuelLiters":1,"fuelKm":10,"fuelPrice":0.5,"oilMonthly":30,"tiresMonthly":13.89,"maintenanceMonthly":200,"baseKmMonthly":1680,"coolingDaily":0}</t>
  </si>
  <si>
    <t>Vehiculo Iveco Daily / JAC 1061</t>
  </si>
  <si>
    <t>{"id":"camion","name":"Iveco Daily / JAC 1061","source":"Dato del usuario aprobado: consumo exacto 40 litros / 150 km","depreciationMonthly":208.33,"permitMonthly":8.33,"driverDaily":20,"helperDaily":13,"workDays":24,"fuelLiters":40,"fuelKm":150,"fuelPrice":0.7,"oilMonthly":200,"tiresMonthly":33.06,"maintenanceMonthly":300,"baseKmMonthly":4800,"coolingDaily":0}</t>
  </si>
  <si>
    <t>Vehiculo Mitsubishi Canter</t>
  </si>
  <si>
    <t>{"id":"canter","name":"Mitsubishi Canter","source":"Pendiente: dato del usuario","depreciationMonthly":null,"permitMonthly":null,"driverDaily":null,"helperDaily":null,"workDays":null,"fuelLiters":null,"fuelKm":null,"fuelPrice":null,"oilMonthly":null,"tiresMonthly":null,"maintenanceMonthly":null,"baseKmMonthly":null,"coolingDaily":null}</t>
  </si>
  <si>
    <t>Vehiculo Dongfeng refrigerado</t>
  </si>
  <si>
    <t>{"id":"dongfeng","name":"Dongfeng refrigerado","source":"Pendiente: dato del usuario","depreciationMonthly":null,"permitMonthly":null,"driverDaily":null,"helperDaily":null,"workDays":null,"fuelLiters":null,"fuelKm":null,"fuelPrice":null,"oilMonthly":null,"tiresMonthly":null,"maintenanceMonthly":null,"baseKmMonthly":null,"coolingDaily":null}</t>
  </si>
  <si>
    <t>Transportista Transportista Maracaibo</t>
  </si>
  <si>
    <t>{"id":"maracaibo","name":"Transportista Maracaibo","mode":"fijo","fixed":170,"percentage":0,"minimum":0,"base":"entregado","source":"Dato del usuario: $170 por viaje/dia"}</t>
  </si>
  <si>
    <t>Transportista Transportista Cabimas</t>
  </si>
  <si>
    <t>{"id":"cabimas","name":"Transportista Cabimas","mode":"porcentaje","fixed":0,"percentage":0.025,"minimum":0,"base":"entregado","source":"Dato del usuario: 2.5%; base entregado y minimo 0 editables"}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</si>
</sst>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$&quot;#,##0.00"/>
    <numFmt numFmtId="165" formatCode="0.0%"/>
  </numFmts>
  <fonts count="3" x14ac:knownFonts="1">
    <font>
      <color theme="1"/>
      <family val="2"/>
      <scheme val="minor"/>
      <sz val="11"/>
      <name val="Calibri"/>
    </font>
    <font>
      <b/>
      <color rgb="FFFFFFFF"/>
      <sz val="10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2039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165" fontId="0" fillId="0" borderId="0" xfId="0" applyNumberFormat="1"/>
    <xf numFmtId="2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  <xf numFmtId="165" fontId="1" fillId="2" borderId="0" xfId="0" applyNumberFormat="1" applyFont="1" applyFill="1"/>
    <xf numFmtId="2" fontId="1" fillId="2" borderId="0" xfId="0" applyNumberFormat="1" applyFont="1" applyFill="1"/>
    <xf numFmtId="0" fontId="2" fillId="0" borderId="0" xfId="0" applyFont="1"/>
    <xf numFmtId="164" fontId="2" fillId="0" borderId="0" xfId="0" applyNumberFormat="1" applyFont="1"/>
    <xf numFmtId="165" fontId="2" fillId="0" borderId="0" xfId="0" applyNumberFormat="1" applyFont="1"/>
    <xf numFmtId="2" fontId="2" fillId="0" borderId="0" xfId="0" applyNumberFormat="1" applyFont="1"/>
  </cellXfs>
  <cellStyles count="1">
    <cellStyle name="Normal" xfId="0" builtinId="0"/>
  </cellStyles>
  <dxfs count="3">
    <dxf>
      <fill>
        <patternFill patternType="solid">
          <fgColor rgb="FFC6EF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30" customWidth="1"/>
    <col min="3" max="3" width="22" customWidth="1"/>
    <col min="4" max="4" width="25" customWidth="1"/>
    <col min="5" max="5" width="18" customWidth="1"/>
    <col min="6" max="6" width="20" customWidth="1"/>
    <col min="7" max="7" width="14" customWidth="1"/>
    <col min="8" max="8" width="25" customWidth="1"/>
    <col min="9" max="9" width="20" style="1" customWidth="1"/>
    <col min="10" max="10" width="18" style="1" customWidth="1"/>
    <col min="11" max="11" width="18" style="2" customWidth="1"/>
    <col min="12" max="12" width="16" customWidth="1"/>
    <col min="13" max="13" width="20" style="1" customWidth="1"/>
    <col min="14" max="15" width="18" style="1" customWidth="1"/>
    <col min="16" max="16" width="22" style="1" customWidth="1"/>
    <col min="17" max="17" width="18" style="2" customWidth="1"/>
    <col min="18" max="18" width="15" style="2" customWidth="1"/>
    <col min="19" max="19" width="18" style="2" customWidth="1"/>
    <col min="20" max="20" width="20" style="1" customWidth="1"/>
    <col min="21" max="21" width="24" style="1" customWidth="1"/>
    <col min="22" max="22" width="22" style="1" customWidth="1"/>
    <col min="23" max="24" width="16" style="2" customWidth="1"/>
    <col min="25" max="26" width="14" style="3" customWidth="1"/>
    <col min="27" max="27" width="16" style="1" customWidth="1"/>
    <col min="28" max="28" width="18" style="3" customWidth="1"/>
    <col min="29" max="29" width="16" style="3" customWidth="1"/>
    <col min="30" max="30" width="16" style="1" customWidth="1"/>
    <col min="31" max="31" width="65" customWidth="1"/>
  </cols>
  <sheetData>
    <row r="1" spans="1:3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5" t="s">
        <v>9</v>
      </c>
      <c r="K1" s="6" t="s">
        <v>10</v>
      </c>
      <c r="L1" s="4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6" t="s">
        <v>16</v>
      </c>
      <c r="R1" s="6" t="s">
        <v>17</v>
      </c>
      <c r="S1" s="6" t="s">
        <v>18</v>
      </c>
      <c r="T1" s="5" t="s">
        <v>19</v>
      </c>
      <c r="U1" s="5" t="s">
        <v>20</v>
      </c>
      <c r="V1" s="5" t="s">
        <v>21</v>
      </c>
      <c r="W1" s="6" t="s">
        <v>22</v>
      </c>
      <c r="X1" s="6" t="s">
        <v>23</v>
      </c>
      <c r="Y1" s="7" t="s">
        <v>24</v>
      </c>
      <c r="Z1" s="7" t="s">
        <v>25</v>
      </c>
      <c r="AA1" s="5" t="s">
        <v>26</v>
      </c>
      <c r="AB1" s="7" t="s">
        <v>27</v>
      </c>
      <c r="AC1" s="7" t="s">
        <v>28</v>
      </c>
      <c r="AD1" s="5" t="s">
        <v>29</v>
      </c>
      <c r="AE1" s="4" t="s">
        <v>30</v>
      </c>
    </row>
    <row r="2" spans="1:31" x14ac:dyDescent="0.25">
      <c r="A2" s="8" t="s">
        <v>31</v>
      </c>
      <c r="B2" s="8" t="s">
        <v>32</v>
      </c>
      <c r="C2" s="8" t="s">
        <v>33</v>
      </c>
      <c r="D2" s="8" t="s">
        <v>34</v>
      </c>
      <c r="E2" s="8" t="s">
        <v>35</v>
      </c>
      <c r="F2" s="8" t="s">
        <v>36</v>
      </c>
      <c r="G2" s="8" t="s">
        <v>37</v>
      </c>
      <c r="I2" s="9">
        <v>5079</v>
      </c>
      <c r="J2" s="9">
        <v>101.57</v>
      </c>
      <c r="K2" s="10">
        <v>0.01999803110848592</v>
      </c>
      <c r="L2" s="8" t="s">
        <v>38</v>
      </c>
      <c r="M2" s="9">
        <v>5078.5</v>
      </c>
      <c r="N2" s="9">
        <v>0.5</v>
      </c>
      <c r="O2" s="9">
        <v>0</v>
      </c>
      <c r="P2" s="9">
        <v>101.59</v>
      </c>
      <c r="Q2" s="10">
        <v>0.020001968891514076</v>
      </c>
      <c r="R2" s="10">
        <v>0.8</v>
      </c>
      <c r="S2" s="2"/>
      <c r="T2" s="9">
        <v>507.9</v>
      </c>
      <c r="U2" s="9">
        <v>0.50785</v>
      </c>
      <c r="V2" s="9">
        <v>0.0253925</v>
      </c>
      <c r="W2" s="10">
        <v>0</v>
      </c>
      <c r="X2" s="10">
        <v>0</v>
      </c>
      <c r="Y2" s="11">
        <v>8</v>
      </c>
      <c r="Z2" s="11">
        <v>20</v>
      </c>
      <c r="AA2" s="9">
        <v>0.50785</v>
      </c>
      <c r="AB2" s="3"/>
      <c r="AC2" s="11">
        <v>3.75</v>
      </c>
      <c r="AD2" s="9">
        <v>0</v>
      </c>
      <c r="AE2" s="8" t="s">
        <v>39</v>
      </c>
    </row>
    <row r="3" spans="1:31" x14ac:dyDescent="0.25">
      <c r="A3" s="8" t="s">
        <v>31</v>
      </c>
      <c r="B3" s="8" t="s">
        <v>40</v>
      </c>
      <c r="C3" s="8" t="s">
        <v>33</v>
      </c>
      <c r="D3" s="8" t="s">
        <v>34</v>
      </c>
      <c r="E3" s="8" t="s">
        <v>35</v>
      </c>
      <c r="F3" s="8" t="s">
        <v>36</v>
      </c>
      <c r="G3" s="8" t="s">
        <v>37</v>
      </c>
      <c r="I3" s="9">
        <v>3590</v>
      </c>
      <c r="J3" s="9">
        <v>71.8</v>
      </c>
      <c r="K3" s="10">
        <v>0.02</v>
      </c>
      <c r="L3" s="8" t="s">
        <v>38</v>
      </c>
      <c r="M3" s="9">
        <v>3590</v>
      </c>
      <c r="N3" s="9">
        <v>0</v>
      </c>
      <c r="O3" s="9">
        <v>0</v>
      </c>
      <c r="P3" s="9">
        <v>71.8</v>
      </c>
      <c r="Q3" s="10">
        <v>0.02</v>
      </c>
      <c r="R3" s="10">
        <v>0.8</v>
      </c>
      <c r="S3" s="2"/>
      <c r="T3" s="9">
        <v>359</v>
      </c>
      <c r="U3" s="9">
        <v>0.359</v>
      </c>
      <c r="V3" s="9">
        <v>0.01795</v>
      </c>
      <c r="W3" s="10">
        <v>0</v>
      </c>
      <c r="X3" s="10">
        <v>0</v>
      </c>
      <c r="Y3" s="11">
        <v>8</v>
      </c>
      <c r="Z3" s="11">
        <v>10</v>
      </c>
      <c r="AA3" s="9">
        <v>0.718</v>
      </c>
      <c r="AB3" s="3"/>
      <c r="AC3" s="11">
        <v>3.75</v>
      </c>
      <c r="AD3" s="9">
        <v>0</v>
      </c>
      <c r="AE3" s="8" t="s">
        <v>39</v>
      </c>
    </row>
    <row r="4" spans="1:31" x14ac:dyDescent="0.25">
      <c r="A4" s="8" t="s">
        <v>31</v>
      </c>
      <c r="B4" s="8" t="s">
        <v>41</v>
      </c>
      <c r="C4" s="8" t="s">
        <v>33</v>
      </c>
      <c r="D4" s="8" t="s">
        <v>34</v>
      </c>
      <c r="E4" s="8" t="s">
        <v>35</v>
      </c>
      <c r="F4" s="8" t="s">
        <v>36</v>
      </c>
      <c r="G4" s="8" t="s">
        <v>37</v>
      </c>
      <c r="I4" s="9">
        <v>4000</v>
      </c>
      <c r="J4" s="9">
        <v>51.8</v>
      </c>
      <c r="K4" s="10">
        <v>0.01295</v>
      </c>
      <c r="L4" s="8" t="s">
        <v>42</v>
      </c>
      <c r="M4" s="9">
        <v>2590</v>
      </c>
      <c r="N4" s="9">
        <v>1410</v>
      </c>
      <c r="O4" s="9">
        <v>0</v>
      </c>
      <c r="P4" s="9">
        <v>108.2</v>
      </c>
      <c r="Q4" s="10">
        <v>0.02705</v>
      </c>
      <c r="R4" s="10">
        <v>0.8</v>
      </c>
      <c r="S4" s="2"/>
      <c r="T4" s="9">
        <v>400</v>
      </c>
      <c r="U4" s="9">
        <v>0.259</v>
      </c>
      <c r="V4" s="9">
        <v>0.01295</v>
      </c>
      <c r="W4" s="10">
        <v>0</v>
      </c>
      <c r="X4" s="10">
        <v>0</v>
      </c>
      <c r="Y4" s="11">
        <v>8</v>
      </c>
      <c r="Z4" s="11">
        <v>7</v>
      </c>
      <c r="AA4" s="9">
        <v>0.74</v>
      </c>
      <c r="AB4" s="3"/>
      <c r="AC4" s="11">
        <v>10</v>
      </c>
      <c r="AD4" s="9">
        <v>0</v>
      </c>
      <c r="AE4" s="8" t="s">
        <v>39</v>
      </c>
    </row>
    <row r="5" spans="1:31" x14ac:dyDescent="0.25">
      <c r="A5" s="8" t="s">
        <v>31</v>
      </c>
      <c r="B5" s="8" t="s">
        <v>43</v>
      </c>
      <c r="C5" s="8" t="s">
        <v>33</v>
      </c>
      <c r="D5" s="8" t="s">
        <v>34</v>
      </c>
      <c r="E5" s="8" t="s">
        <v>35</v>
      </c>
      <c r="F5" s="8" t="s">
        <v>36</v>
      </c>
      <c r="G5" s="8" t="s">
        <v>44</v>
      </c>
      <c r="H5" s="8" t="s">
        <v>45</v>
      </c>
      <c r="I5" s="9">
        <v>8500</v>
      </c>
      <c r="J5" s="9">
        <v>170</v>
      </c>
      <c r="K5" s="10">
        <v>0.02</v>
      </c>
      <c r="L5" s="8" t="s">
        <v>38</v>
      </c>
      <c r="M5" s="9">
        <v>8500</v>
      </c>
      <c r="N5" s="9">
        <v>0</v>
      </c>
      <c r="O5" s="9">
        <v>0</v>
      </c>
      <c r="P5" s="9">
        <v>170</v>
      </c>
      <c r="Q5" s="10">
        <v>0.02</v>
      </c>
      <c r="R5" s="10">
        <v>0.8</v>
      </c>
      <c r="S5" s="2"/>
      <c r="T5" s="9">
        <v>850</v>
      </c>
      <c r="U5" s="9">
        <v>0.85</v>
      </c>
      <c r="V5" s="9">
        <v>0.0425</v>
      </c>
      <c r="W5" s="10">
        <v>0</v>
      </c>
      <c r="X5" s="10">
        <v>0</v>
      </c>
      <c r="Y5" s="11">
        <v>8</v>
      </c>
      <c r="Z5" s="11">
        <v>20</v>
      </c>
      <c r="AA5" s="9">
        <v>0.85</v>
      </c>
      <c r="AB5" s="3"/>
      <c r="AC5" s="11">
        <v>3.75</v>
      </c>
      <c r="AD5" s="9">
        <v>0</v>
      </c>
      <c r="AE5" s="8" t="s">
        <v>39</v>
      </c>
    </row>
    <row r="6" spans="1:31" x14ac:dyDescent="0.25">
      <c r="A6" s="8" t="s">
        <v>31</v>
      </c>
      <c r="B6" s="8" t="s">
        <v>46</v>
      </c>
      <c r="C6" s="8" t="s">
        <v>33</v>
      </c>
      <c r="D6" s="8" t="s">
        <v>34</v>
      </c>
      <c r="E6" s="8" t="s">
        <v>35</v>
      </c>
      <c r="F6" s="8" t="s">
        <v>47</v>
      </c>
      <c r="G6" s="8" t="s">
        <v>44</v>
      </c>
      <c r="H6" s="8" t="s">
        <v>48</v>
      </c>
      <c r="I6" s="9">
        <v>8000</v>
      </c>
      <c r="J6" s="9">
        <v>200</v>
      </c>
      <c r="K6" s="10">
        <v>0.025</v>
      </c>
      <c r="L6" s="8" t="s">
        <v>49</v>
      </c>
      <c r="M6" s="9">
        <v>10000</v>
      </c>
      <c r="N6" s="9">
        <v>-2000</v>
      </c>
      <c r="O6" s="9">
        <v>40</v>
      </c>
      <c r="P6" s="9">
        <v>120</v>
      </c>
      <c r="Q6" s="10">
        <v>0.015</v>
      </c>
      <c r="R6" s="10">
        <v>0.8</v>
      </c>
      <c r="S6" s="2"/>
      <c r="T6" s="9">
        <v>800</v>
      </c>
      <c r="U6" s="9">
        <v>1</v>
      </c>
      <c r="V6" s="9">
        <v>0.05</v>
      </c>
      <c r="W6" s="10">
        <v>0</v>
      </c>
      <c r="X6" s="10">
        <v>0</v>
      </c>
      <c r="Y6" s="11">
        <v>8</v>
      </c>
      <c r="Z6" s="11">
        <v>20</v>
      </c>
      <c r="AA6" s="9">
        <v>1</v>
      </c>
      <c r="AB6" s="3"/>
      <c r="AC6" s="11">
        <v>3.75</v>
      </c>
      <c r="AD6" s="9">
        <v>0</v>
      </c>
      <c r="AE6" s="8" t="s">
        <v>50</v>
      </c>
    </row>
    <row r="7" spans="1:31" x14ac:dyDescent="0.25">
      <c r="A7" s="8" t="s">
        <v>31</v>
      </c>
      <c r="B7" s="8" t="s">
        <v>51</v>
      </c>
      <c r="C7" s="8" t="s">
        <v>33</v>
      </c>
      <c r="D7" s="8" t="s">
        <v>34</v>
      </c>
      <c r="E7" s="8" t="s">
        <v>35</v>
      </c>
      <c r="F7" s="8" t="s">
        <v>47</v>
      </c>
      <c r="G7" s="8" t="s">
        <v>44</v>
      </c>
      <c r="H7" s="8" t="s">
        <v>52</v>
      </c>
      <c r="I7" s="9">
        <v>2000</v>
      </c>
      <c r="J7" s="9">
        <v>60</v>
      </c>
      <c r="K7" s="10">
        <v>0.03</v>
      </c>
      <c r="L7" s="8" t="s">
        <v>49</v>
      </c>
      <c r="M7" s="9">
        <v>3000</v>
      </c>
      <c r="N7" s="9">
        <v>-1000</v>
      </c>
      <c r="O7" s="9">
        <v>20</v>
      </c>
      <c r="P7" s="9">
        <v>20</v>
      </c>
      <c r="Q7" s="10">
        <v>0.01</v>
      </c>
      <c r="R7" s="10">
        <v>0.8</v>
      </c>
      <c r="S7" s="2"/>
      <c r="T7" s="9">
        <v>200</v>
      </c>
      <c r="U7" s="9">
        <v>0.3</v>
      </c>
      <c r="V7" s="9">
        <v>0.015</v>
      </c>
      <c r="W7" s="10">
        <v>0</v>
      </c>
      <c r="X7" s="10">
        <v>0</v>
      </c>
      <c r="Y7" s="11">
        <v>8</v>
      </c>
      <c r="Z7" s="11">
        <v>20</v>
      </c>
      <c r="AA7" s="9">
        <v>0.3</v>
      </c>
      <c r="AB7" s="3"/>
      <c r="AC7" s="11">
        <v>3.75</v>
      </c>
      <c r="AD7" s="9">
        <v>0</v>
      </c>
      <c r="AE7" s="8" t="s">
        <v>50</v>
      </c>
    </row>
  </sheetData>
  <autoFilter ref="A1:AE7"/>
  <conditionalFormatting sqref="K2:K7">
    <cfRule type="expression" dxfId="0" priority="1">
      <formula>$L2="verde"</formula>
    </cfRule>
    <cfRule type="expression" dxfId="1" priority="2">
      <formula>$L2="amarillo"</formula>
    </cfRule>
    <cfRule type="expression" dxfId="2" priority="3">
      <formula>$L2="rojo"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FormatPr defaultRowHeight="15" outlineLevelRow="0" outlineLevelCol="0" x14ac:dyDescent="55"/>
  <cols>
    <col min="1" max="1" width="16" customWidth="1"/>
    <col min="2" max="2" width="28" customWidth="1"/>
    <col min="3" max="3" width="12" customWidth="1"/>
    <col min="4" max="4" width="20" style="1" customWidth="1"/>
    <col min="5" max="5" width="22" style="1" customWidth="1"/>
    <col min="6" max="6" width="20" style="2" customWidth="1"/>
    <col min="7" max="7" width="18" style="1" customWidth="1"/>
    <col min="8" max="8" width="18" style="2" customWidth="1"/>
    <col min="9" max="9" width="22" customWidth="1"/>
  </cols>
  <sheetData>
    <row r="1" spans="1:9" x14ac:dyDescent="0.25">
      <c r="A1" s="4" t="s">
        <v>53</v>
      </c>
      <c r="B1" s="4" t="s">
        <v>54</v>
      </c>
      <c r="C1" s="4" t="s">
        <v>55</v>
      </c>
      <c r="D1" s="5" t="s">
        <v>56</v>
      </c>
      <c r="E1" s="5" t="s">
        <v>8</v>
      </c>
      <c r="F1" s="6" t="s">
        <v>57</v>
      </c>
      <c r="G1" s="5" t="s">
        <v>14</v>
      </c>
      <c r="H1" s="6" t="s">
        <v>58</v>
      </c>
      <c r="I1" s="4" t="s">
        <v>59</v>
      </c>
    </row>
    <row r="2" spans="1:9" x14ac:dyDescent="0.25">
      <c r="A2" s="8" t="s">
        <v>31</v>
      </c>
      <c r="B2" s="8" t="s">
        <v>60</v>
      </c>
      <c r="C2" s="8">
        <v>1</v>
      </c>
      <c r="D2" s="9">
        <v>101.57</v>
      </c>
      <c r="E2" s="9">
        <v>5079</v>
      </c>
      <c r="F2" s="10">
        <v>0.01999803110848592</v>
      </c>
      <c r="G2" s="9">
        <v>0</v>
      </c>
      <c r="H2" s="10">
        <v>0</v>
      </c>
      <c r="I2" s="8">
        <v>0</v>
      </c>
    </row>
    <row r="3" spans="1:9" x14ac:dyDescent="0.25">
      <c r="A3" s="8" t="s">
        <v>31</v>
      </c>
      <c r="B3" s="8" t="s">
        <v>61</v>
      </c>
      <c r="C3" s="8">
        <v>1</v>
      </c>
      <c r="D3" s="9">
        <v>71.8</v>
      </c>
      <c r="E3" s="9">
        <v>3590</v>
      </c>
      <c r="F3" s="10">
        <v>0.02</v>
      </c>
      <c r="G3" s="9">
        <v>0</v>
      </c>
      <c r="H3" s="10">
        <v>0</v>
      </c>
      <c r="I3" s="8">
        <v>0</v>
      </c>
    </row>
    <row r="4" spans="1:9" x14ac:dyDescent="0.25">
      <c r="A4" s="8" t="s">
        <v>31</v>
      </c>
      <c r="B4" s="8" t="s">
        <v>62</v>
      </c>
      <c r="C4" s="8">
        <v>1</v>
      </c>
      <c r="D4" s="9">
        <v>51.8</v>
      </c>
      <c r="E4" s="9">
        <v>4000</v>
      </c>
      <c r="F4" s="10">
        <v>0.01295</v>
      </c>
      <c r="G4" s="9">
        <v>0</v>
      </c>
      <c r="H4" s="10">
        <v>0</v>
      </c>
      <c r="I4" s="8">
        <v>0</v>
      </c>
    </row>
    <row r="5" spans="1:9" x14ac:dyDescent="0.25">
      <c r="A5" s="8" t="s">
        <v>31</v>
      </c>
      <c r="B5" s="8" t="s">
        <v>63</v>
      </c>
      <c r="C5" s="8">
        <v>1</v>
      </c>
      <c r="D5" s="9">
        <v>170</v>
      </c>
      <c r="E5" s="9">
        <v>8500</v>
      </c>
      <c r="F5" s="10">
        <v>0.02</v>
      </c>
      <c r="G5" s="9">
        <v>0</v>
      </c>
      <c r="H5" s="10">
        <v>0</v>
      </c>
      <c r="I5" s="8">
        <v>0</v>
      </c>
    </row>
    <row r="6" spans="1:9" x14ac:dyDescent="0.25">
      <c r="A6" s="8" t="s">
        <v>31</v>
      </c>
      <c r="B6" s="8" t="s">
        <v>64</v>
      </c>
      <c r="C6" s="8">
        <v>1</v>
      </c>
      <c r="D6" s="9">
        <v>200</v>
      </c>
      <c r="E6" s="9">
        <v>8000</v>
      </c>
      <c r="F6" s="10">
        <v>0.025</v>
      </c>
      <c r="G6" s="9">
        <v>40</v>
      </c>
      <c r="H6" s="10">
        <v>1</v>
      </c>
      <c r="I6" s="8">
        <v>0</v>
      </c>
    </row>
    <row r="7" spans="1:9" x14ac:dyDescent="0.25">
      <c r="A7" s="8" t="s">
        <v>31</v>
      </c>
      <c r="B7" s="8" t="s">
        <v>65</v>
      </c>
      <c r="C7" s="8">
        <v>1</v>
      </c>
      <c r="D7" s="9">
        <v>60</v>
      </c>
      <c r="E7" s="9">
        <v>2000</v>
      </c>
      <c r="F7" s="10">
        <v>0.03</v>
      </c>
      <c r="G7" s="9">
        <v>20</v>
      </c>
      <c r="H7" s="10">
        <v>1</v>
      </c>
      <c r="I7" s="8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FormatPr defaultRowHeight="15" outlineLevelRow="0" outlineLevelCol="0" x14ac:dyDescent="55"/>
  <cols>
    <col min="1" max="1" width="40" customWidth="1"/>
    <col min="2" max="2" width="75" customWidth="1"/>
  </cols>
  <sheetData>
    <row r="1" spans="1:2" x14ac:dyDescent="0.25">
      <c r="A1" s="4" t="s">
        <v>66</v>
      </c>
      <c r="B1" s="4" t="s">
        <v>67</v>
      </c>
    </row>
    <row r="2" spans="1:2" x14ac:dyDescent="0.25">
      <c r="A2" s="8" t="s">
        <v>68</v>
      </c>
      <c r="B2" s="8" t="s">
        <v>69</v>
      </c>
    </row>
    <row r="3" spans="1:2" x14ac:dyDescent="0.25">
      <c r="A3" s="8" t="s">
        <v>70</v>
      </c>
      <c r="B3" s="8" t="s">
        <v>71</v>
      </c>
    </row>
    <row r="4" spans="1:2" x14ac:dyDescent="0.25">
      <c r="A4" s="8" t="s">
        <v>72</v>
      </c>
      <c r="B4" s="8" t="s">
        <v>73</v>
      </c>
    </row>
    <row r="5" spans="1:2" x14ac:dyDescent="0.25">
      <c r="A5" s="8" t="s">
        <v>74</v>
      </c>
      <c r="B5" s="8" t="s">
        <v>75</v>
      </c>
    </row>
    <row r="6" spans="1:2" x14ac:dyDescent="0.25">
      <c r="A6" s="8" t="s">
        <v>76</v>
      </c>
      <c r="B6" s="8">
        <v>0.02</v>
      </c>
    </row>
    <row r="7" spans="1:2" x14ac:dyDescent="0.25">
      <c r="A7" s="8" t="s">
        <v>77</v>
      </c>
      <c r="B7" s="8">
        <v>0.015</v>
      </c>
    </row>
    <row r="8" spans="1:2" x14ac:dyDescent="0.25">
      <c r="A8" s="8" t="s">
        <v>78</v>
      </c>
      <c r="B8" s="8">
        <v>0.03</v>
      </c>
    </row>
    <row r="9" spans="1:2" x14ac:dyDescent="0.25">
      <c r="A9" s="8" t="s">
        <v>79</v>
      </c>
      <c r="B9" s="8">
        <v>0.02</v>
      </c>
    </row>
    <row r="10" spans="1:2" x14ac:dyDescent="0.25">
      <c r="A10" s="8" t="s">
        <v>80</v>
      </c>
      <c r="B10" s="8">
        <v>0.85</v>
      </c>
    </row>
    <row r="11" spans="1:2" x14ac:dyDescent="0.25">
      <c r="A11" s="8" t="s">
        <v>81</v>
      </c>
      <c r="B11" s="8">
        <v>9</v>
      </c>
    </row>
    <row r="12" spans="1:2" x14ac:dyDescent="0.25">
      <c r="A12" s="8" t="s">
        <v>82</v>
      </c>
      <c r="B12" s="8">
        <v>8</v>
      </c>
    </row>
    <row r="13" spans="1:2" x14ac:dyDescent="0.25">
      <c r="A13" s="8" t="s">
        <v>83</v>
      </c>
      <c r="B13" s="8">
        <v>0.15</v>
      </c>
    </row>
    <row r="14" spans="1:2" x14ac:dyDescent="0.25">
      <c r="A14" s="8" t="s">
        <v>84</v>
      </c>
      <c r="B14" s="8">
        <v>0.04</v>
      </c>
    </row>
    <row r="15" spans="1:2" x14ac:dyDescent="0.25">
      <c r="A15" s="8" t="s">
        <v>85</v>
      </c>
      <c r="B15" s="8" t="s">
        <v>86</v>
      </c>
    </row>
    <row r="16" spans="1:2" x14ac:dyDescent="0.25">
      <c r="A16" s="8" t="s">
        <v>87</v>
      </c>
      <c r="B16" s="8" t="s">
        <v>88</v>
      </c>
    </row>
    <row r="17" spans="1:2" x14ac:dyDescent="0.25">
      <c r="A17" s="8" t="s">
        <v>89</v>
      </c>
      <c r="B17" s="8" t="s">
        <v>90</v>
      </c>
    </row>
    <row r="18" spans="1:2" x14ac:dyDescent="0.25">
      <c r="A18" s="8" t="s">
        <v>91</v>
      </c>
      <c r="B18" s="8" t="s">
        <v>92</v>
      </c>
    </row>
    <row r="19" spans="1:2" x14ac:dyDescent="0.25">
      <c r="A19" s="8" t="s">
        <v>93</v>
      </c>
      <c r="B19" s="8" t="s">
        <v>94</v>
      </c>
    </row>
    <row r="20" spans="1:2" x14ac:dyDescent="0.25">
      <c r="A20" s="8" t="s">
        <v>95</v>
      </c>
      <c r="B20" s="8" t="s">
        <v>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Viajes</vt:lpstr>
      <vt:lpstr>Resumen</vt:lpstr>
      <vt:lpstr>Parametros y notas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PAD Distribucion</dc:creator>
  <dc:title/>
  <dc:subject/>
  <dc:description/>
  <cp:keywords/>
  <cp:category/>
  <cp:lastModifiedBy>Unknown</cp:lastModifiedBy>
  <dcterms:created xsi:type="dcterms:W3CDTF">2026-10-06T04:50:34Z</dcterms:created>
  <dcterms:modified xsi:type="dcterms:W3CDTF">2026-10-06T04:50:34Z</dcterms:modified>
</cp:coreProperties>
</file>